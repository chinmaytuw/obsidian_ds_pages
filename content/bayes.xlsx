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atwawadi\Downloads\"/>
    </mc:Choice>
  </mc:AlternateContent>
  <xr:revisionPtr revIDLastSave="0" documentId="13_ncr:1_{77D1C90D-67E1-4213-8718-57A6B8580BD1}" xr6:coauthVersionLast="47" xr6:coauthVersionMax="47" xr10:uidLastSave="{00000000-0000-0000-0000-000000000000}"/>
  <bookViews>
    <workbookView xWindow="28680" yWindow="-120" windowWidth="29040" windowHeight="15720" xr2:uid="{BEB83063-8AC1-4372-8BDA-B777E42BA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4" i="1"/>
  <c r="D4" i="1" s="1"/>
  <c r="E3" i="1"/>
  <c r="F15" i="1" l="1"/>
  <c r="E5" i="1"/>
  <c r="C4" i="1"/>
  <c r="C3" i="1"/>
  <c r="D3" i="1" l="1"/>
  <c r="D5" i="1" s="1"/>
  <c r="C5" i="1"/>
  <c r="C9" i="1" l="1"/>
  <c r="F16" i="1"/>
  <c r="F19" i="1" s="1"/>
</calcChain>
</file>

<file path=xl/sharedStrings.xml><?xml version="1.0" encoding="utf-8"?>
<sst xmlns="http://schemas.openxmlformats.org/spreadsheetml/2006/main" count="13" uniqueCount="12">
  <si>
    <t>sick</t>
  </si>
  <si>
    <t>not sick</t>
  </si>
  <si>
    <t>population</t>
  </si>
  <si>
    <t>test effectivity</t>
  </si>
  <si>
    <t>diag sick</t>
  </si>
  <si>
    <t>diag not sick</t>
  </si>
  <si>
    <t>disease occurrence</t>
  </si>
  <si>
    <t>p(sick|diag sick)</t>
  </si>
  <si>
    <t>p(sick)</t>
  </si>
  <si>
    <t>p(diag sick)</t>
  </si>
  <si>
    <t>p(diag sick | sick)</t>
  </si>
  <si>
    <t>p(sick)* p(diag sick | sick) / p(diag sick)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</si>
</sst>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>
      <alignment horizontal="center"/>
    </xf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AFEE-E581-4FE8-ADAB-B0D333A86A79}">
  <dimension ref="A1:K19"/>
  <sheetViews>
    <sheetView tabSelected="1" zoomScale="145" zoomScaleNormal="145" workbookViewId="0">
      <selection activeCell="H11" sqref="H11"/>
    </sheetView>
  </sheetViews>
  <sheetFormatPr defaultRowHeight="15" x14ac:dyDescent="0.25"/>
  <cols>
    <col min="3" max="3" width="12.140625" bestFit="1" customWidth="1"/>
    <col min="4" max="4" width="12.5703125" bestFit="1" customWidth="1"/>
    <col min="5" max="5" width="10.7109375" bestFit="1" customWidth="1"/>
    <col min="6" max="6" width="6.85546875" bestFit="1" customWidth="1"/>
    <col min="7" max="7" width="13.28515625" bestFit="1" customWidth="1"/>
  </cols>
  <sheetData>
    <row r="1" spans="1:11" x14ac:dyDescent="0.25">
      <c r="G1" t="s">
        <v>2</v>
      </c>
      <c r="I1" t="s">
        <v>3</v>
      </c>
      <c r="K1" t="s">
        <v>6</v>
      </c>
    </row>
    <row r="2" spans="1:11" x14ac:dyDescent="0.25">
      <c r="C2" t="s">
        <v>4</v>
      </c>
      <c r="D2" t="s">
        <v>5</v>
      </c>
      <c r="G2" s="1">
        <v>1000000</v>
      </c>
      <c r="I2" s="5">
        <v>0.99</v>
      </c>
      <c r="K2" s="5">
        <v>1E-4</v>
      </c>
    </row>
    <row r="3" spans="1:11" x14ac:dyDescent="0.25">
      <c r="B3" t="s">
        <v>0</v>
      </c>
      <c r="C3" s="2">
        <f>E3*I2</f>
        <v>99</v>
      </c>
      <c r="D3" s="2">
        <f>E3-C3</f>
        <v>1</v>
      </c>
      <c r="E3" s="2">
        <f>G2*K2</f>
        <v>100</v>
      </c>
    </row>
    <row r="4" spans="1:11" x14ac:dyDescent="0.25">
      <c r="B4" t="s">
        <v>1</v>
      </c>
      <c r="C4" s="2">
        <f>E4-D4</f>
        <v>9999</v>
      </c>
      <c r="D4" s="2">
        <f>E4*I2</f>
        <v>989901</v>
      </c>
      <c r="E4" s="2">
        <f>(1-K2)*G2</f>
        <v>999900</v>
      </c>
    </row>
    <row r="5" spans="1:11" x14ac:dyDescent="0.25">
      <c r="C5" s="2">
        <f>SUM(C3:C4)</f>
        <v>10098</v>
      </c>
      <c r="D5" s="2">
        <f>SUM(D3:D4)</f>
        <v>989902</v>
      </c>
      <c r="E5" s="2">
        <f>SUM(E3:E4)</f>
        <v>1000000</v>
      </c>
    </row>
    <row r="8" spans="1:11" x14ac:dyDescent="0.25">
      <c r="C8" s="4" t="s">
        <v>7</v>
      </c>
      <c r="D8" s="4"/>
    </row>
    <row r="9" spans="1:11" x14ac:dyDescent="0.25">
      <c r="C9" s="4">
        <f>C3/C5</f>
        <v>9.8039215686274508E-3</v>
      </c>
      <c r="D9" s="4"/>
    </row>
    <row r="14" spans="1:11" x14ac:dyDescent="0.25">
      <c r="B14" t="s">
        <v>7</v>
      </c>
    </row>
    <row r="15" spans="1:11" x14ac:dyDescent="0.25">
      <c r="A15">
        <v>1</v>
      </c>
      <c r="B15" t="s">
        <v>8</v>
      </c>
      <c r="F15" s="3">
        <f>E3/E5</f>
        <v>1E-4</v>
      </c>
    </row>
    <row r="16" spans="1:11" x14ac:dyDescent="0.25">
      <c r="A16">
        <v>2</v>
      </c>
      <c r="B16" t="s">
        <v>9</v>
      </c>
      <c r="F16" s="3">
        <f>C5/E5</f>
        <v>1.0097999999999999E-2</v>
      </c>
    </row>
    <row r="17" spans="1:6" x14ac:dyDescent="0.25">
      <c r="A17">
        <v>3</v>
      </c>
      <c r="B17" t="s">
        <v>10</v>
      </c>
      <c r="F17" s="3">
        <f>C3/E3</f>
        <v>0.99</v>
      </c>
    </row>
    <row r="19" spans="1:6" x14ac:dyDescent="0.25">
      <c r="A19">
        <v>4</v>
      </c>
      <c r="B19" t="s">
        <v>11</v>
      </c>
      <c r="F19" s="3">
        <f>(F15*F17)/F16</f>
        <v>9.8039215686274526E-3</v>
      </c>
    </row>
  </sheetData>
  <mergeCells count="2"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Tatwawadi, Chinmay</dc:creator>
  <cp:lastModifiedBy>Tatwawadi, Chinmay</cp:lastModifiedBy>
  <dcterms:created xsi:type="dcterms:W3CDTF">2025-01-23T23:34:14Z</dcterms:created>
  <dcterms:modified xsi:type="dcterms:W3CDTF">2025-01-24T00:14:40Z</dcterms:modified>
</cp:coreProperties>
</file>